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 daddy\Obsdien\UNEXCEL\unexcel\examples\"/>
    </mc:Choice>
  </mc:AlternateContent>
  <xr:revisionPtr revIDLastSave="0" documentId="8_{30BF218A-03A5-46D1-8D83-5D7B2BDFB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" l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8" i="1"/>
  <c r="G27" i="1" s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A8" i="1"/>
  <c r="G29" i="1" s="1"/>
  <c r="G7" i="1"/>
  <c r="G6" i="1"/>
  <c r="G5" i="1"/>
  <c r="G4" i="1"/>
  <c r="G3" i="1"/>
  <c r="G2" i="1"/>
  <c r="G1" i="1"/>
  <c r="C1" i="1"/>
</calcChain>
</file>

<file path=xl/sharedStrings.xml><?xml version="1.0" encoding="utf-8"?>
<sst xmlns="http://schemas.openxmlformats.org/spreadsheetml/2006/main" count="4" uniqueCount="4">
  <si>
    <t>5</t>
  </si>
  <si>
    <t>apple</t>
  </si>
  <si>
    <t>Banana</t>
  </si>
  <si>
    <t>a*b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</si>
</sst>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/>
  </sheetViews>
  <sheetFormatPr defaultRowHeight="14.4" x14ac:dyDescent="0.3"/>
  <sheetData>
    <row r="1" spans="1:8" x14ac:dyDescent="0.3">
      <c r="A1">
        <v>5</v>
      </c>
      <c r="B1">
        <v>10</v>
      </c>
      <c r="C1" t="str">
        <f>IF(B1&gt;0,"","x")</f>
        <v/>
      </c>
      <c r="D1">
        <v>0</v>
      </c>
      <c r="E1">
        <v>30</v>
      </c>
      <c r="G1">
        <f>COUNTIF(A1:A8,5)</f>
        <v>2</v>
      </c>
      <c r="H1">
        <v>5</v>
      </c>
    </row>
    <row r="2" spans="1:8" x14ac:dyDescent="0.3">
      <c r="A2" t="s">
        <v>0</v>
      </c>
      <c r="B2">
        <v>20</v>
      </c>
      <c r="D2">
        <v>100</v>
      </c>
      <c r="E2">
        <v>10</v>
      </c>
      <c r="G2">
        <f>COUNTIF(A1:A8,"&lt;&gt;5")</f>
        <v>7</v>
      </c>
      <c r="H2">
        <v>5</v>
      </c>
    </row>
    <row r="3" spans="1:8" x14ac:dyDescent="0.3">
      <c r="A3" t="s">
        <v>1</v>
      </c>
      <c r="B3">
        <v>30</v>
      </c>
      <c r="D3">
        <v>500</v>
      </c>
      <c r="E3">
        <v>20</v>
      </c>
      <c r="G3">
        <f>COUNTIF(A1:C1,"&lt;&gt;")</f>
        <v>3</v>
      </c>
      <c r="H3" t="e">
        <v>#N/A</v>
      </c>
    </row>
    <row r="4" spans="1:8" x14ac:dyDescent="0.3">
      <c r="A4" t="s">
        <v>2</v>
      </c>
      <c r="B4">
        <v>40</v>
      </c>
      <c r="G4">
        <f>COUNTIF(A1:A8,"&gt;b")</f>
        <v>1</v>
      </c>
    </row>
    <row r="5" spans="1:8" x14ac:dyDescent="0.3">
      <c r="A5" t="b">
        <v>1</v>
      </c>
      <c r="B5">
        <v>50</v>
      </c>
      <c r="G5">
        <f>SUMIF(A1:A8,"&lt;&gt;apple",B1:B8)</f>
        <v>330</v>
      </c>
    </row>
    <row r="6" spans="1:8" x14ac:dyDescent="0.3">
      <c r="B6">
        <v>60</v>
      </c>
      <c r="G6" t="e">
        <f>SUMIF(B1:B8,"&gt;30",A1:A8)</f>
        <v>#DIV/0!</v>
      </c>
    </row>
    <row r="7" spans="1:8" x14ac:dyDescent="0.3">
      <c r="A7" t="s">
        <v>3</v>
      </c>
      <c r="B7">
        <v>70</v>
      </c>
      <c r="G7" t="str">
        <f>"x"&amp;0.00001</f>
        <v>x0.00001</v>
      </c>
    </row>
    <row r="8" spans="1:8" x14ac:dyDescent="0.3">
      <c r="A8" t="e">
        <f>1/0</f>
        <v>#DIV/0!</v>
      </c>
      <c r="B8">
        <v>80</v>
      </c>
      <c r="G8" t="str">
        <f>"x"&amp;1000000000000000</f>
        <v>x1000000000000000</v>
      </c>
    </row>
    <row r="9" spans="1:8" x14ac:dyDescent="0.3">
      <c r="G9" t="str">
        <f>"x"&amp;123456789012345000</f>
        <v>x123456789012345000</v>
      </c>
    </row>
    <row r="10" spans="1:8" x14ac:dyDescent="0.3">
      <c r="G10" t="str">
        <f>TRIM("  a   b  ")</f>
        <v>a b</v>
      </c>
    </row>
    <row r="11" spans="1:8" x14ac:dyDescent="0.3">
      <c r="G11" t="str">
        <f>PROPER("hELLO o'neil 2nd")</f>
        <v>Hello O'Neil 2Nd</v>
      </c>
    </row>
    <row r="12" spans="1:8" x14ac:dyDescent="0.3">
      <c r="G12">
        <f>MATCH(15,E1:E3)</f>
        <v>2</v>
      </c>
    </row>
    <row r="13" spans="1:8" x14ac:dyDescent="0.3">
      <c r="G13" t="e">
        <f>MATCH(150,D1:D3,-1)</f>
        <v>#N/A</v>
      </c>
    </row>
    <row r="14" spans="1:8" x14ac:dyDescent="0.3">
      <c r="G14">
        <f>VLOOKUP("b",A3:B4,2)</f>
        <v>30</v>
      </c>
    </row>
    <row r="15" spans="1:8" x14ac:dyDescent="0.3">
      <c r="G15">
        <f>DAYS360(DATE(2026,1,30),DATE(2026,2,28))</f>
        <v>28</v>
      </c>
    </row>
    <row r="16" spans="1:8" x14ac:dyDescent="0.3">
      <c r="G16">
        <f>DAYS360(DATE(2026,2,28),DATE(2026,3,31))</f>
        <v>30</v>
      </c>
    </row>
    <row r="17" spans="7:7" x14ac:dyDescent="0.3">
      <c r="G17" t="str">
        <f>TEXT(-0.001,"0.00")</f>
        <v>0.00</v>
      </c>
    </row>
    <row r="18" spans="7:7" x14ac:dyDescent="0.3">
      <c r="G18">
        <f>MOD(1,0.1)</f>
        <v>9.999999999999995E-2</v>
      </c>
    </row>
    <row r="19" spans="7:7" x14ac:dyDescent="0.3">
      <c r="G19">
        <f>ROUNDUP(0.1*3,1)</f>
        <v>0.3</v>
      </c>
    </row>
    <row r="20" spans="7:7" x14ac:dyDescent="0.3">
      <c r="G20" t="str">
        <f>CHAR(128)</f>
        <v>€</v>
      </c>
    </row>
    <row r="21" spans="7:7" x14ac:dyDescent="0.3">
      <c r="G21" t="b">
        <f>1&lt;"a"</f>
        <v>1</v>
      </c>
    </row>
    <row r="22" spans="7:7" x14ac:dyDescent="0.3">
      <c r="G22" t="b">
        <f>"a"&lt;TRUE</f>
        <v>1</v>
      </c>
    </row>
    <row r="23" spans="7:7" x14ac:dyDescent="0.3">
      <c r="G23" t="str">
        <f>IFERROR(1/0,"")</f>
        <v/>
      </c>
    </row>
    <row r="24" spans="7:7" x14ac:dyDescent="0.3">
      <c r="G24">
        <f>AVERAGE(A1:A3,"3")</f>
        <v>4</v>
      </c>
    </row>
    <row r="25" spans="7:7" x14ac:dyDescent="0.3">
      <c r="G25">
        <f>INDEX(F1:F3,2)</f>
        <v>0</v>
      </c>
    </row>
    <row r="26" spans="7:7" x14ac:dyDescent="0.3">
      <c r="G26">
        <f>_xlfn.XLOOKUP(250,D1:D3,B1:B3,0,-1)</f>
        <v>20</v>
      </c>
    </row>
    <row r="27" spans="7:7" x14ac:dyDescent="0.3">
      <c r="G27">
        <f>SUBTOTAL(9,B1:B3,G28)</f>
        <v>60</v>
      </c>
    </row>
    <row r="28" spans="7:7" x14ac:dyDescent="0.3">
      <c r="G28">
        <f>SUBTOTAL(9,B1:B2)</f>
        <v>30</v>
      </c>
    </row>
    <row r="29" spans="7:7" x14ac:dyDescent="0.3">
      <c r="G29" t="e">
        <f>SUM(A8,B1)</f>
        <v>#DIV/0!</v>
      </c>
    </row>
    <row r="30" spans="7:7" x14ac:dyDescent="0.3">
      <c r="G30">
        <f>DATE(1900,3,1)</f>
        <v>61</v>
      </c>
    </row>
    <row r="31" spans="7:7" x14ac:dyDescent="0.3">
      <c r="G31">
        <f>WEEKDAY(DATE(2026,1,1))</f>
        <v>5</v>
      </c>
    </row>
    <row r="32" spans="7:7" x14ac:dyDescent="0.3">
      <c r="G32" t="str">
        <f>TEXT(DATE(2026,3,6),"dd-mmm-yyyy")</f>
        <v>06-Mar-2026</v>
      </c>
    </row>
    <row r="33" spans="7:7" x14ac:dyDescent="0.3">
      <c r="G33">
        <f>DATE(1900,2,29)</f>
        <v>60</v>
      </c>
    </row>
    <row r="34" spans="7:7" x14ac:dyDescent="0.3">
      <c r="G34" t="e">
        <f>MAX(1/0,H3)</f>
        <v>#DIV/0!</v>
      </c>
    </row>
    <row r="35" spans="7:7" x14ac:dyDescent="0.3">
      <c r="G35" t="e">
        <f>MAX(H3,1/0)</f>
        <v>#DIV/0!</v>
      </c>
    </row>
    <row r="36" spans="7:7" x14ac:dyDescent="0.3">
      <c r="G36">
        <f>ROUNDUP(1,1000)</f>
        <v>1</v>
      </c>
    </row>
    <row r="37" spans="7:7" x14ac:dyDescent="0.3">
      <c r="G37" t="e">
        <f>ROUNDUP(1,-1000)</f>
        <v>#NUM!</v>
      </c>
    </row>
    <row r="38" spans="7:7" x14ac:dyDescent="0.3">
      <c r="G38" t="e">
        <f>EDATE(2958465,1)</f>
        <v>#NUM!</v>
      </c>
    </row>
    <row r="39" spans="7:7" x14ac:dyDescent="0.3">
      <c r="G39" t="e">
        <f>EDATE(1,-1)</f>
        <v>#NUM!</v>
      </c>
    </row>
    <row r="40" spans="7:7" x14ac:dyDescent="0.3">
      <c r="G40" t="e">
        <f>EOMONTH(2958465,1)</f>
        <v>#NUM!</v>
      </c>
    </row>
    <row r="41" spans="7:7" x14ac:dyDescent="0.3">
      <c r="G41">
        <f>LEN(REPT("a",32767))</f>
        <v>32767</v>
      </c>
    </row>
    <row r="42" spans="7:7" x14ac:dyDescent="0.3">
      <c r="G42" t="e">
        <f>LEN(REPT("a",32768))</f>
        <v>#VALUE!</v>
      </c>
    </row>
    <row r="43" spans="7:7" x14ac:dyDescent="0.3">
      <c r="G43" t="str">
        <f>VLOOKUP(10,B1:C1,2,FALSE)</f>
        <v/>
      </c>
    </row>
    <row r="44" spans="7:7" x14ac:dyDescent="0.3">
      <c r="G44">
        <f>MEDIAN(B1:B2,B1:B1)</f>
        <v>10</v>
      </c>
    </row>
    <row r="45" spans="7:7" x14ac:dyDescent="0.3">
      <c r="G45">
        <f>_xlfn.XLOOKUP(5,H1:H2,B1:B2,"none",-1,1)</f>
        <v>10</v>
      </c>
    </row>
    <row r="46" spans="7:7" x14ac:dyDescent="0.3">
      <c r="G46">
        <f>_xlfn.XLOOKUP(5,H1:H2,B1:B2,"none",1,-1)</f>
        <v>20</v>
      </c>
    </row>
    <row r="47" spans="7:7" x14ac:dyDescent="0.3">
      <c r="G47" t="str">
        <f>"x"&amp;0.000001</f>
        <v>x0.000001</v>
      </c>
    </row>
    <row r="48" spans="7:7" x14ac:dyDescent="0.3">
      <c r="G48" t="str">
        <f>"x"&amp;0.0000001</f>
        <v>x0.0000001</v>
      </c>
    </row>
    <row r="49" spans="7:7" x14ac:dyDescent="0.3">
      <c r="G49" t="str">
        <f>"x"&amp;0.000000001</f>
        <v>x0.000000001</v>
      </c>
    </row>
    <row r="50" spans="7:7" x14ac:dyDescent="0.3">
      <c r="G50" t="str">
        <f>"x"&amp;0.0000000001</f>
        <v>x0.0000000001</v>
      </c>
    </row>
    <row r="51" spans="7:7" x14ac:dyDescent="0.3">
      <c r="G51" t="str">
        <f>"x"&amp;0.00000000001</f>
        <v>x0.00000000001</v>
      </c>
    </row>
    <row r="52" spans="7:7" x14ac:dyDescent="0.3">
      <c r="G52" t="str">
        <f>"x"&amp;1000000000000000000</f>
        <v>x1000000000000000000</v>
      </c>
    </row>
    <row r="53" spans="7:7" x14ac:dyDescent="0.3">
      <c r="G53" t="str">
        <f>"x"&amp;10000000000000000000</f>
        <v>x10000000000000000000</v>
      </c>
    </row>
    <row r="54" spans="7:7" x14ac:dyDescent="0.3">
      <c r="G54" t="str">
        <f>"x"&amp;100000000000000000000</f>
        <v>x1E+20</v>
      </c>
    </row>
    <row r="55" spans="7:7" x14ac:dyDescent="0.3">
      <c r="G55" t="str">
        <f>"x"&amp;1E+21</f>
        <v>x1E+21</v>
      </c>
    </row>
    <row r="56" spans="7:7" x14ac:dyDescent="0.3">
      <c r="G56" t="str">
        <f>"x"&amp;1E+22</f>
        <v>x1E+22</v>
      </c>
    </row>
    <row r="57" spans="7:7" x14ac:dyDescent="0.3">
      <c r="G57" t="e">
        <f>SUM(H3,1/0)</f>
        <v>#DIV/0!</v>
      </c>
    </row>
    <row r="58" spans="7:7" x14ac:dyDescent="0.3">
      <c r="G58" t="e">
        <f>SUM(1/0,H3)</f>
        <v>#DIV/0!</v>
      </c>
    </row>
    <row r="59" spans="7:7" x14ac:dyDescent="0.3">
      <c r="G59" t="e">
        <f>MIN(H3,1/0)</f>
        <v>#DIV/0!</v>
      </c>
    </row>
    <row r="60" spans="7:7" x14ac:dyDescent="0.3">
      <c r="G60" t="e">
        <f>AVERAGE(H3,1/0)</f>
        <v>#DIV/0!</v>
      </c>
    </row>
    <row r="61" spans="7:7" x14ac:dyDescent="0.3">
      <c r="G61" t="e">
        <f>PRODUCT(H3,1/0)</f>
        <v>#DIV/0!</v>
      </c>
    </row>
    <row r="62" spans="7:7" x14ac:dyDescent="0.3">
      <c r="G62" t="e">
        <f>SUM(H2:H3,1/0)</f>
        <v>#DIV/0!</v>
      </c>
    </row>
    <row r="63" spans="7:7" x14ac:dyDescent="0.3">
      <c r="G63">
        <f>DAYS360(DATE(2026,1,15),DATE(2026,4,30))</f>
        <v>105</v>
      </c>
    </row>
    <row r="64" spans="7:7" x14ac:dyDescent="0.3">
      <c r="G64">
        <f>DAYS360(DATE(2026,1,15),DATE(2026,2,28))</f>
        <v>43</v>
      </c>
    </row>
    <row r="65" spans="7:7" x14ac:dyDescent="0.3">
      <c r="G65">
        <f>DAYS360(DATE(2024,2,29),DATE(2024,3,31))</f>
        <v>30</v>
      </c>
    </row>
    <row r="66" spans="7:7" x14ac:dyDescent="0.3">
      <c r="G66">
        <f>DAYS360(DATE(2026,1,31),DATE(2026,2,28))</f>
        <v>28</v>
      </c>
    </row>
    <row r="67" spans="7:7" x14ac:dyDescent="0.3">
      <c r="G67">
        <f>MOD(0.3,0.1)</f>
        <v>9.9999999999999978E-2</v>
      </c>
    </row>
    <row r="68" spans="7:7" x14ac:dyDescent="0.3">
      <c r="G68">
        <f>MOD(-1,0.1)</f>
        <v>5.5511151231257827E-17</v>
      </c>
    </row>
    <row r="69" spans="7:7" x14ac:dyDescent="0.3">
      <c r="G69">
        <f>DATE(1900,1,60)</f>
        <v>60</v>
      </c>
    </row>
    <row r="70" spans="7:7" x14ac:dyDescent="0.3">
      <c r="G70">
        <f>DATE(1900,2,30)</f>
        <v>61</v>
      </c>
    </row>
    <row r="71" spans="7:7" x14ac:dyDescent="0.3">
      <c r="G71">
        <f>DATE(1900,3,0)</f>
        <v>60</v>
      </c>
    </row>
    <row r="72" spans="7:7" x14ac:dyDescent="0.3">
      <c r="G72" t="str">
        <f>TEXT(-0.0004,"0.0%")</f>
        <v>0.0%</v>
      </c>
    </row>
    <row r="73" spans="7:7" x14ac:dyDescent="0.3">
      <c r="G73">
        <f>MATCH(15,E1:E3,-1)</f>
        <v>1</v>
      </c>
    </row>
    <row r="74" spans="7:7" x14ac:dyDescent="0.3">
      <c r="G74">
        <f>MATCH(25,E1:E3,1)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openpyxl</cp:lastModifiedBy>
  <dcterms:created xsi:type="dcterms:W3CDTF">2026-10-14T06:39:36Z</dcterms:created>
  <dcterms:modified xsi:type="dcterms:W3CDTF">2026-10-14T06:49:08Z</dcterms:modified>
</cp:coreProperties>
</file>