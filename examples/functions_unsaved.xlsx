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10</v>
      </c>
      <c r="C1">
        <f>IF(B1&gt;0,"","x")</f>
        <v/>
      </c>
      <c r="D1" t="n">
        <v>0</v>
      </c>
      <c r="E1" t="n">
        <v>30</v>
      </c>
      <c r="G1">
        <f>COUNTIF(A1:A8,5)</f>
        <v/>
      </c>
      <c r="H1" t="n">
        <v>5</v>
      </c>
    </row>
    <row r="2">
      <c r="A2" t="inlineStr">
        <is>
          <t>5</t>
        </is>
      </c>
      <c r="B2" t="n">
        <v>20</v>
      </c>
      <c r="D2" t="n">
        <v>100</v>
      </c>
      <c r="E2" t="n">
        <v>10</v>
      </c>
      <c r="G2">
        <f>COUNTIF(A1:A8,"&lt;&gt;5")</f>
        <v/>
      </c>
      <c r="H2" t="n">
        <v>5</v>
      </c>
    </row>
    <row r="3">
      <c r="A3" t="inlineStr">
        <is>
          <t>apple</t>
        </is>
      </c>
      <c r="B3" t="n">
        <v>30</v>
      </c>
      <c r="D3" t="n">
        <v>500</v>
      </c>
      <c r="E3" t="n">
        <v>20</v>
      </c>
      <c r="G3">
        <f>COUNTIF(A1:C1,"&lt;&gt;")</f>
        <v/>
      </c>
      <c r="H3" t="e">
        <v>#N/A</v>
      </c>
    </row>
    <row r="4">
      <c r="A4" t="inlineStr">
        <is>
          <t>Banana</t>
        </is>
      </c>
      <c r="B4" t="n">
        <v>40</v>
      </c>
      <c r="G4">
        <f>COUNTIF(A1:A8,"&gt;b")</f>
        <v/>
      </c>
    </row>
    <row r="5">
      <c r="A5" t="b">
        <v>1</v>
      </c>
      <c r="B5" t="n">
        <v>50</v>
      </c>
      <c r="G5">
        <f>SUMIF(A1:A8,"&lt;&gt;apple",B1:B8)</f>
        <v/>
      </c>
    </row>
    <row r="6">
      <c r="B6" t="n">
        <v>60</v>
      </c>
      <c r="G6">
        <f>SUMIF(B1:B8,"&gt;30",A1:A8)</f>
        <v/>
      </c>
    </row>
    <row r="7">
      <c r="A7" t="inlineStr">
        <is>
          <t>a*b</t>
        </is>
      </c>
      <c r="B7" t="n">
        <v>70</v>
      </c>
      <c r="G7">
        <f>"x"&amp;0.00001</f>
        <v/>
      </c>
    </row>
    <row r="8">
      <c r="A8">
        <f>1/0</f>
        <v/>
      </c>
      <c r="B8" t="n">
        <v>80</v>
      </c>
      <c r="G8">
        <f>"x"&amp;1E+15</f>
        <v/>
      </c>
    </row>
    <row r="9">
      <c r="G9">
        <f>"x"&amp;123456789012345678</f>
        <v/>
      </c>
    </row>
    <row r="10">
      <c r="G10">
        <f>TRIM("  a   b  ")</f>
        <v/>
      </c>
    </row>
    <row r="11">
      <c r="G11">
        <f>PROPER("hELLO o'neil 2nd")</f>
        <v/>
      </c>
    </row>
    <row r="12">
      <c r="G12">
        <f>MATCH(15,E1:E3)</f>
        <v/>
      </c>
    </row>
    <row r="13">
      <c r="G13">
        <f>MATCH(150,D1:D3,-1)</f>
        <v/>
      </c>
    </row>
    <row r="14">
      <c r="G14">
        <f>VLOOKUP("b",A3:B4,2)</f>
        <v/>
      </c>
    </row>
    <row r="15">
      <c r="G15">
        <f>DAYS360(DATE(2026,1,30),DATE(2026,2,28))</f>
        <v/>
      </c>
    </row>
    <row r="16">
      <c r="G16">
        <f>DAYS360(DATE(2026,2,28),DATE(2026,3,31))</f>
        <v/>
      </c>
    </row>
    <row r="17">
      <c r="G17">
        <f>TEXT(-0.001,"0.00")</f>
        <v/>
      </c>
    </row>
    <row r="18">
      <c r="G18">
        <f>MOD(1,0.1)</f>
        <v/>
      </c>
    </row>
    <row r="19">
      <c r="G19">
        <f>ROUNDUP(0.1*3,1)</f>
        <v/>
      </c>
    </row>
    <row r="20">
      <c r="G20">
        <f>CHAR(128)</f>
        <v/>
      </c>
    </row>
    <row r="21">
      <c r="G21">
        <f>1&lt;"a"</f>
        <v/>
      </c>
    </row>
    <row r="22">
      <c r="G22">
        <f>"a"&lt;TRUE</f>
        <v/>
      </c>
    </row>
    <row r="23">
      <c r="G23">
        <f>IFERROR(1/0,"")</f>
        <v/>
      </c>
    </row>
    <row r="24">
      <c r="G24">
        <f>AVERAGE(A1:A3,"3")</f>
        <v/>
      </c>
    </row>
    <row r="25">
      <c r="G25">
        <f>INDEX(F1:F3,2)</f>
        <v/>
      </c>
    </row>
    <row r="26">
      <c r="G26">
        <f>_xlfn.XLOOKUP(250,D1:D3,B1:B3,0,-1)</f>
        <v/>
      </c>
    </row>
    <row r="27">
      <c r="G27">
        <f>SUBTOTAL(9,B1:B3,G28)</f>
        <v/>
      </c>
    </row>
    <row r="28">
      <c r="G28">
        <f>SUBTOTAL(9,B1:B2)</f>
        <v/>
      </c>
    </row>
    <row r="29">
      <c r="G29">
        <f>SUM(A8,B1)</f>
        <v/>
      </c>
    </row>
    <row r="30">
      <c r="G30">
        <f>DATE(1900,3,1)</f>
        <v/>
      </c>
    </row>
    <row r="31">
      <c r="G31">
        <f>WEEKDAY(DATE(2026,1,1))</f>
        <v/>
      </c>
    </row>
    <row r="32">
      <c r="G32">
        <f>TEXT(DATE(2026,3,6),"dd-mmm-yyyy")</f>
        <v/>
      </c>
    </row>
    <row r="33">
      <c r="G33">
        <f>DATE(1900,2,29)</f>
        <v/>
      </c>
    </row>
    <row r="34">
      <c r="G34">
        <f>MAX(1/0,H3)</f>
        <v/>
      </c>
    </row>
    <row r="35">
      <c r="G35">
        <f>MAX(H3,1/0)</f>
        <v/>
      </c>
    </row>
    <row r="36">
      <c r="G36">
        <f>ROUNDUP(1,1000)</f>
        <v/>
      </c>
    </row>
    <row r="37">
      <c r="G37">
        <f>ROUNDUP(1,-1000)</f>
        <v/>
      </c>
    </row>
    <row r="38">
      <c r="G38">
        <f>EDATE(2958465,1)</f>
        <v/>
      </c>
    </row>
    <row r="39">
      <c r="G39">
        <f>EDATE(1,-1)</f>
        <v/>
      </c>
    </row>
    <row r="40">
      <c r="G40">
        <f>EOMONTH(2958465,1)</f>
        <v/>
      </c>
    </row>
    <row r="41">
      <c r="G41">
        <f>LEN(REPT("a",32767))</f>
        <v/>
      </c>
    </row>
    <row r="42">
      <c r="G42">
        <f>LEN(REPT("a",32768))</f>
        <v/>
      </c>
    </row>
    <row r="43">
      <c r="G43">
        <f>VLOOKUP(10,B1:C1,2,FALSE)</f>
        <v/>
      </c>
    </row>
    <row r="44">
      <c r="G44">
        <f>MEDIAN(B1:B2,B1:B1)</f>
        <v/>
      </c>
    </row>
    <row r="45">
      <c r="G45">
        <f>_xlfn.XLOOKUP(5,H1:H2,B1:B2,"none",-1,1)</f>
        <v/>
      </c>
    </row>
    <row r="46">
      <c r="G46">
        <f>_xlfn.XLOOKUP(5,H1:H2,B1:B2,"none",1,-1)</f>
        <v/>
      </c>
    </row>
    <row r="47">
      <c r="G47">
        <f>"x"&amp;0.000001</f>
        <v/>
      </c>
    </row>
    <row r="48">
      <c r="G48">
        <f>"x"&amp;0.0000001</f>
        <v/>
      </c>
    </row>
    <row r="49">
      <c r="G49">
        <f>"x"&amp;0.000000001</f>
        <v/>
      </c>
    </row>
    <row r="50">
      <c r="G50">
        <f>"x"&amp;0.0000000001</f>
        <v/>
      </c>
    </row>
    <row r="51">
      <c r="G51">
        <f>"x"&amp;0.00000000001</f>
        <v/>
      </c>
    </row>
    <row r="52">
      <c r="G52">
        <f>"x"&amp;1E+18</f>
        <v/>
      </c>
    </row>
    <row r="53">
      <c r="G53">
        <f>"x"&amp;1E+19</f>
        <v/>
      </c>
    </row>
    <row r="54">
      <c r="G54">
        <f>"x"&amp;1E+20</f>
        <v/>
      </c>
    </row>
    <row r="55">
      <c r="G55">
        <f>"x"&amp;1E+21</f>
        <v/>
      </c>
    </row>
    <row r="56">
      <c r="G56">
        <f>"x"&amp;1E+22</f>
        <v/>
      </c>
    </row>
    <row r="57">
      <c r="G57">
        <f>SUM(H3,1/0)</f>
        <v/>
      </c>
    </row>
    <row r="58">
      <c r="G58">
        <f>SUM(1/0,H3)</f>
        <v/>
      </c>
    </row>
    <row r="59">
      <c r="G59">
        <f>MIN(H3,1/0)</f>
        <v/>
      </c>
    </row>
    <row r="60">
      <c r="G60">
        <f>AVERAGE(H3,1/0)</f>
        <v/>
      </c>
    </row>
    <row r="61">
      <c r="G61">
        <f>PRODUCT(H3,1/0)</f>
        <v/>
      </c>
    </row>
    <row r="62">
      <c r="G62">
        <f>SUM(H2:H3,1/0)</f>
        <v/>
      </c>
    </row>
    <row r="63">
      <c r="G63">
        <f>DAYS360(DATE(2026,1,15),DATE(2026,4,30))</f>
        <v/>
      </c>
    </row>
    <row r="64">
      <c r="G64">
        <f>DAYS360(DATE(2026,1,15),DATE(2026,2,28))</f>
        <v/>
      </c>
    </row>
    <row r="65">
      <c r="G65">
        <f>DAYS360(DATE(2024,2,29),DATE(2024,3,31))</f>
        <v/>
      </c>
    </row>
    <row r="66">
      <c r="G66">
        <f>DAYS360(DATE(2026,1,31),DATE(2026,2,28))</f>
        <v/>
      </c>
    </row>
    <row r="67">
      <c r="G67">
        <f>MOD(0.3,0.1)</f>
        <v/>
      </c>
    </row>
    <row r="68">
      <c r="G68">
        <f>MOD(-1,0.1)</f>
        <v/>
      </c>
    </row>
    <row r="69">
      <c r="G69">
        <f>DATE(1900,1,60)</f>
        <v/>
      </c>
    </row>
    <row r="70">
      <c r="G70">
        <f>DATE(1900,2,30)</f>
        <v/>
      </c>
    </row>
    <row r="71">
      <c r="G71">
        <f>DATE(1900,3,0)</f>
        <v/>
      </c>
    </row>
    <row r="72">
      <c r="G72">
        <f>TEXT(-0.0004,"0.0%")</f>
        <v/>
      </c>
    </row>
    <row r="73">
      <c r="G73">
        <f>MATCH(15,E1:E3,-1)</f>
        <v/>
      </c>
    </row>
    <row r="74">
      <c r="G74">
        <f>MATCH(25,E1:E3,1)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2026-10-14T06:39:36Z</dcterms:created>
  <dcterms:modified xsi:type="dcterms:W3CDTF">2026-10-14T06:39:36Z</dcterms:modified>
</cp:coreProperties>
</file>